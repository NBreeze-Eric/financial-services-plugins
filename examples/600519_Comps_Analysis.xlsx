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可比公司分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0.0%"/>
    <numFmt numFmtId="166" formatCode="0.0x"/>
  </numFmts>
  <fonts count="10">
    <font>
      <name val="Calibri"/>
      <family val="2"/>
      <color theme="1"/>
      <sz val="11"/>
      <scheme val="minor"/>
    </font>
    <font>
      <name val="Times New Roman"/>
      <b val="1"/>
      <color rgb="00FFFFFF"/>
      <sz val="12"/>
    </font>
    <font>
      <name val="Times New Roman"/>
      <color rgb="00000000"/>
      <sz val="11"/>
    </font>
    <font>
      <name val="Times New Roman"/>
      <color rgb="00000000"/>
      <sz val="10"/>
    </font>
    <font>
      <name val="Times New Roman"/>
      <b val="1"/>
      <color rgb="00FFFFFF"/>
      <sz val="11"/>
    </font>
    <font>
      <name val="Times New Roman"/>
      <b val="1"/>
      <color rgb="00000000"/>
      <sz val="11"/>
    </font>
    <font>
      <name val="Times New Roman"/>
      <b val="1"/>
      <sz val="11"/>
    </font>
    <font>
      <name val="Times New Roman"/>
      <color rgb="000000FF"/>
      <sz val="11"/>
    </font>
    <font>
      <name val="Times New Roman"/>
      <sz val="11"/>
    </font>
    <font>
      <name val="Times New Roman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164" fontId="7" fillId="0" borderId="0" applyAlignment="1" pivotButton="0" quotePrefix="0" xfId="0">
      <alignment horizontal="center" vertical="center"/>
    </xf>
    <xf numFmtId="165" fontId="7" fillId="0" borderId="0" applyAlignment="1" pivotButton="0" quotePrefix="0" xfId="0">
      <alignment horizontal="center" vertical="center"/>
    </xf>
    <xf numFmtId="165" fontId="2" fillId="0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left" vertical="center"/>
    </xf>
    <xf numFmtId="164" fontId="2" fillId="4" borderId="0" applyAlignment="1" pivotButton="0" quotePrefix="0" xfId="0">
      <alignment horizontal="center" vertical="center"/>
    </xf>
    <xf numFmtId="165" fontId="2" fillId="4" borderId="0" applyAlignment="1" pivotButton="0" quotePrefix="0" xfId="0">
      <alignment horizontal="center" vertical="center"/>
    </xf>
    <xf numFmtId="3" fontId="7" fillId="0" borderId="0" applyAlignment="1" pivotButton="0" quotePrefix="0" xfId="0">
      <alignment horizontal="center" vertical="center"/>
    </xf>
    <xf numFmtId="166" fontId="7" fillId="0" borderId="0" applyAlignment="1" pivotButton="0" quotePrefix="0" xfId="0">
      <alignment horizontal="center" vertical="center"/>
    </xf>
    <xf numFmtId="3" fontId="2" fillId="0" borderId="0" applyAlignment="1" pivotButton="0" quotePrefix="0" xfId="0">
      <alignment horizontal="center" vertical="center"/>
    </xf>
    <xf numFmtId="166" fontId="2" fillId="0" borderId="0" applyAlignment="1" pivotButton="0" quotePrefix="0" xfId="0">
      <alignment horizontal="center" vertical="center"/>
    </xf>
    <xf numFmtId="3" fontId="2" fillId="4" borderId="0" applyAlignment="1" pivotButton="0" quotePrefix="0" xfId="0">
      <alignment horizontal="center" vertical="center"/>
    </xf>
    <xf numFmtId="166" fontId="2" fillId="4" borderId="0" applyAlignment="1" pivotButton="0" quotePrefix="0" xfId="0">
      <alignment horizontal="center" vertical="center"/>
    </xf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Analyst</author>
  </authors>
  <commentList>
    <comment ref="F8" authorId="0" shapeId="0">
      <text>
        <t>EBITDA(TTM)取自2025-09-30（iFinD最新可用TTM）</t>
      </text>
    </comment>
    <comment ref="F9" authorId="0" shapeId="0">
      <text>
        <t>EBITDA(TTM)取自2025-09-30（iFinD最新可用TTM）</t>
      </text>
    </comment>
    <comment ref="F10" authorId="0" shapeId="0">
      <text>
        <t>EBITDA(TTM)取自2025-09-30（iFinD最新可用TTM）</t>
      </text>
    </comment>
    <comment ref="F11" authorId="0" shapeId="0">
      <text>
        <t>EBITDA(TTM)取自2025-09-30（iFinD最新可用TTM）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白酒行业 — 可比公司分析 (Baijiu Sector - Comparable Company Analysis)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贵州茅台(600519) • 五粮液(000858) • 泸州老窖(000568) • 山西汾酒(600809) • 洋河股份(002304)</t>
        </is>
      </c>
    </row>
    <row r="3">
      <c r="A3" s="4" t="inlineStr">
        <is>
          <t>数据截至 2026-04-22 | 金额单位：亿元人民币 | TTM口径 | 数据来源：同花顺iFinD</t>
        </is>
      </c>
    </row>
    <row r="5">
      <c r="A5" s="5" t="inlineStr">
        <is>
          <t>OPERATING METRICS &amp; FINANCIAL PERFORMANCE</t>
        </is>
      </c>
      <c r="B5" s="2" t="n"/>
      <c r="C5" s="2" t="n"/>
      <c r="D5" s="2" t="n"/>
      <c r="E5" s="2" t="n"/>
      <c r="F5" s="2" t="n"/>
      <c r="G5" s="2" t="n"/>
      <c r="H5" s="2" t="n"/>
      <c r="I5" s="2" t="n"/>
    </row>
    <row r="6">
      <c r="A6" s="6" t="inlineStr">
        <is>
          <t>Company</t>
        </is>
      </c>
      <c r="B6" s="6" t="inlineStr">
        <is>
          <t>Revenue
(LTM)</t>
        </is>
      </c>
      <c r="C6" s="6" t="inlineStr">
        <is>
          <t>Revenue
Growth</t>
        </is>
      </c>
      <c r="D6" s="6" t="inlineStr">
        <is>
          <t>Gross
Profit</t>
        </is>
      </c>
      <c r="E6" s="6" t="inlineStr">
        <is>
          <t>Gross
Margin</t>
        </is>
      </c>
      <c r="F6" s="6" t="inlineStr">
        <is>
          <t>EBITDA
(LTM)</t>
        </is>
      </c>
      <c r="G6" s="6" t="inlineStr">
        <is>
          <t>EBITDA
Margin</t>
        </is>
      </c>
      <c r="H6" s="6" t="inlineStr">
        <is>
          <t>Net Profit
(LTM)</t>
        </is>
      </c>
      <c r="I6" s="6" t="inlineStr">
        <is>
          <t>Net
Margin</t>
        </is>
      </c>
    </row>
    <row r="7">
      <c r="A7" s="7" t="inlineStr">
        <is>
          <t>贵州茅台</t>
        </is>
      </c>
      <c r="B7" s="8" t="n">
        <v>1720.5</v>
      </c>
      <c r="C7" s="9" t="n">
        <v>-0.012</v>
      </c>
      <c r="D7" s="8" t="n">
        <v>1539.5</v>
      </c>
      <c r="E7" s="10">
        <f>D7/B7</f>
        <v/>
      </c>
      <c r="F7" s="8" t="n">
        <v>1162</v>
      </c>
      <c r="G7" s="10">
        <f>F7/B7</f>
        <v/>
      </c>
      <c r="H7" s="8" t="n">
        <v>823.2</v>
      </c>
      <c r="I7" s="10">
        <f>H7/B7</f>
        <v/>
      </c>
    </row>
    <row r="8">
      <c r="A8" s="7" t="inlineStr">
        <is>
          <t>五粮液</t>
        </is>
      </c>
      <c r="B8" s="8" t="n">
        <v>822</v>
      </c>
      <c r="C8" s="9" t="n">
        <v>-0.1026</v>
      </c>
      <c r="D8" s="8" t="n">
        <v>620.4</v>
      </c>
      <c r="E8" s="10">
        <f>D8/B8</f>
        <v/>
      </c>
      <c r="F8" s="8" t="n">
        <v>430.8</v>
      </c>
      <c r="G8" s="10">
        <f>F8/B8</f>
        <v/>
      </c>
      <c r="H8" s="8" t="n">
        <v>284.3</v>
      </c>
      <c r="I8" s="10">
        <f>H8/B8</f>
        <v/>
      </c>
    </row>
    <row r="9">
      <c r="A9" s="7" t="inlineStr">
        <is>
          <t>泸州老窖</t>
        </is>
      </c>
      <c r="B9" s="8" t="n">
        <v>300.2</v>
      </c>
      <c r="C9" s="9" t="n">
        <v>-0.0484</v>
      </c>
      <c r="D9" s="8" t="n">
        <v>259.6</v>
      </c>
      <c r="E9" s="10">
        <f>D9/B9</f>
        <v/>
      </c>
      <c r="F9" s="8" t="n">
        <v>178.6</v>
      </c>
      <c r="G9" s="10">
        <f>F9/B9</f>
        <v/>
      </c>
      <c r="H9" s="8" t="n">
        <v>126.4</v>
      </c>
      <c r="I9" s="10">
        <f>H9/B9</f>
        <v/>
      </c>
    </row>
    <row r="10">
      <c r="A10" s="7" t="inlineStr">
        <is>
          <t>山西汾酒</t>
        </is>
      </c>
      <c r="B10" s="8" t="n">
        <v>375.8</v>
      </c>
      <c r="C10" s="9" t="n">
        <v>0.05</v>
      </c>
      <c r="D10" s="8" t="n">
        <v>286.6</v>
      </c>
      <c r="E10" s="10">
        <f>D10/B10</f>
        <v/>
      </c>
      <c r="F10" s="8" t="n">
        <v>172.8</v>
      </c>
      <c r="G10" s="10">
        <f>F10/B10</f>
        <v/>
      </c>
      <c r="H10" s="8" t="n">
        <v>123</v>
      </c>
      <c r="I10" s="10">
        <f>H10/B10</f>
        <v/>
      </c>
    </row>
    <row r="11">
      <c r="A11" s="7" t="inlineStr">
        <is>
          <t>洋河股份</t>
        </is>
      </c>
      <c r="B11" s="8" t="n">
        <v>194.5</v>
      </c>
      <c r="C11" s="9" t="n">
        <v>-0.3426</v>
      </c>
      <c r="D11" s="8" t="n">
        <v>136.8</v>
      </c>
      <c r="E11" s="10">
        <f>D11/B11</f>
        <v/>
      </c>
      <c r="F11" s="8" t="n">
        <v>48.1</v>
      </c>
      <c r="G11" s="10">
        <f>F11/B11</f>
        <v/>
      </c>
      <c r="H11" s="8" t="n">
        <v>20.7</v>
      </c>
      <c r="I11" s="10">
        <f>H11/B11</f>
        <v/>
      </c>
    </row>
    <row r="12">
      <c r="A12" s="11" t="inlineStr">
        <is>
          <t>Maximum</t>
        </is>
      </c>
      <c r="B12" s="12">
        <f>MAX(B7:B11)</f>
        <v/>
      </c>
      <c r="C12" s="13">
        <f>MAX(C7:C11)</f>
        <v/>
      </c>
      <c r="D12" s="12">
        <f>MAX(D7:D11)</f>
        <v/>
      </c>
      <c r="E12" s="13">
        <f>MAX(E7:E11)</f>
        <v/>
      </c>
      <c r="F12" s="12">
        <f>MAX(F7:F11)</f>
        <v/>
      </c>
      <c r="G12" s="13">
        <f>MAX(G7:G11)</f>
        <v/>
      </c>
      <c r="H12" s="12">
        <f>MAX(H7:H11)</f>
        <v/>
      </c>
      <c r="I12" s="13">
        <f>MAX(I7:I11)</f>
        <v/>
      </c>
    </row>
    <row r="13">
      <c r="A13" s="11" t="inlineStr">
        <is>
          <t>75th Percentile</t>
        </is>
      </c>
      <c r="B13" s="12">
        <f>QUARTILE(B7:B11,3)</f>
        <v/>
      </c>
      <c r="C13" s="13">
        <f>QUARTILE(C7:C11,3)</f>
        <v/>
      </c>
      <c r="D13" s="12">
        <f>QUARTILE(D7:D11,3)</f>
        <v/>
      </c>
      <c r="E13" s="13">
        <f>QUARTILE(E7:E11,3)</f>
        <v/>
      </c>
      <c r="F13" s="12">
        <f>QUARTILE(F7:F11,3)</f>
        <v/>
      </c>
      <c r="G13" s="13">
        <f>QUARTILE(G7:G11,3)</f>
        <v/>
      </c>
      <c r="H13" s="12">
        <f>QUARTILE(H7:H11,3)</f>
        <v/>
      </c>
      <c r="I13" s="13">
        <f>QUARTILE(I7:I11,3)</f>
        <v/>
      </c>
    </row>
    <row r="14">
      <c r="A14" s="11" t="inlineStr">
        <is>
          <t>Median</t>
        </is>
      </c>
      <c r="B14" s="12">
        <f>MEDIAN(B7:B11)</f>
        <v/>
      </c>
      <c r="C14" s="13">
        <f>MEDIAN(C7:C11)</f>
        <v/>
      </c>
      <c r="D14" s="12">
        <f>MEDIAN(D7:D11)</f>
        <v/>
      </c>
      <c r="E14" s="13">
        <f>MEDIAN(E7:E11)</f>
        <v/>
      </c>
      <c r="F14" s="12">
        <f>MEDIAN(F7:F11)</f>
        <v/>
      </c>
      <c r="G14" s="13">
        <f>MEDIAN(G7:G11)</f>
        <v/>
      </c>
      <c r="H14" s="12">
        <f>MEDIAN(H7:H11)</f>
        <v/>
      </c>
      <c r="I14" s="13">
        <f>MEDIAN(I7:I11)</f>
        <v/>
      </c>
    </row>
    <row r="15">
      <c r="A15" s="11" t="inlineStr">
        <is>
          <t>25th Percentile</t>
        </is>
      </c>
      <c r="B15" s="12">
        <f>QUARTILE(B7:B11,1)</f>
        <v/>
      </c>
      <c r="C15" s="13">
        <f>QUARTILE(C7:C11,1)</f>
        <v/>
      </c>
      <c r="D15" s="12">
        <f>QUARTILE(D7:D11,1)</f>
        <v/>
      </c>
      <c r="E15" s="13">
        <f>QUARTILE(E7:E11,1)</f>
        <v/>
      </c>
      <c r="F15" s="12">
        <f>QUARTILE(F7:F11,1)</f>
        <v/>
      </c>
      <c r="G15" s="13">
        <f>QUARTILE(G7:G11,1)</f>
        <v/>
      </c>
      <c r="H15" s="12">
        <f>QUARTILE(H7:H11,1)</f>
        <v/>
      </c>
      <c r="I15" s="13">
        <f>QUARTILE(I7:I11,1)</f>
        <v/>
      </c>
    </row>
    <row r="16">
      <c r="A16" s="11" t="inlineStr">
        <is>
          <t>Minimum</t>
        </is>
      </c>
      <c r="B16" s="12">
        <f>MIN(B7:B11)</f>
        <v/>
      </c>
      <c r="C16" s="13">
        <f>MIN(C7:C11)</f>
        <v/>
      </c>
      <c r="D16" s="12">
        <f>MIN(D7:D11)</f>
        <v/>
      </c>
      <c r="E16" s="13">
        <f>MIN(E7:E11)</f>
        <v/>
      </c>
      <c r="F16" s="12">
        <f>MIN(F7:F11)</f>
        <v/>
      </c>
      <c r="G16" s="13">
        <f>MIN(G7:G11)</f>
        <v/>
      </c>
      <c r="H16" s="12">
        <f>MIN(H7:H11)</f>
        <v/>
      </c>
      <c r="I16" s="13">
        <f>MIN(I7:I11)</f>
        <v/>
      </c>
    </row>
    <row r="18">
      <c r="A18" s="5" t="inlineStr">
        <is>
          <t>VALUATION MULTIPLES &amp; INVESTMENT METRICS</t>
        </is>
      </c>
      <c r="B18" s="2" t="n"/>
      <c r="C18" s="2" t="n"/>
      <c r="D18" s="2" t="n"/>
      <c r="E18" s="2" t="n"/>
      <c r="F18" s="2" t="n"/>
      <c r="G18" s="2" t="n"/>
      <c r="H18" s="2" t="n"/>
      <c r="I18" s="2" t="n"/>
    </row>
    <row r="19">
      <c r="A19" s="6" t="inlineStr">
        <is>
          <t>Company</t>
        </is>
      </c>
      <c r="B19" s="6" t="inlineStr">
        <is>
          <t>Market Cap</t>
        </is>
      </c>
      <c r="C19" s="6" t="inlineStr">
        <is>
          <t>EV/EBITDA</t>
        </is>
      </c>
      <c r="D19" s="6" t="inlineStr">
        <is>
          <t>P/E</t>
        </is>
      </c>
      <c r="E19" s="6" t="inlineStr">
        <is>
          <t>EV (implied)</t>
        </is>
      </c>
      <c r="F19" s="6" t="inlineStr">
        <is>
          <t>EV/Revenue</t>
        </is>
      </c>
    </row>
    <row r="20">
      <c r="A20" s="7" t="inlineStr">
        <is>
          <t>贵州茅台</t>
        </is>
      </c>
      <c r="B20" s="14" t="n">
        <v>17682</v>
      </c>
      <c r="C20" s="15" t="n">
        <v>15</v>
      </c>
      <c r="D20" s="15" t="n">
        <v>21.5</v>
      </c>
      <c r="E20" s="16">
        <f>F7*C20</f>
        <v/>
      </c>
      <c r="F20" s="17">
        <f>E20/B7</f>
        <v/>
      </c>
    </row>
    <row r="21">
      <c r="A21" s="7" t="inlineStr">
        <is>
          <t>五粮液</t>
        </is>
      </c>
      <c r="B21" s="14" t="n">
        <v>3927</v>
      </c>
      <c r="C21" s="15" t="n">
        <v>6.1</v>
      </c>
      <c r="D21" s="15" t="n">
        <v>13.8</v>
      </c>
      <c r="E21" s="16">
        <f>F8*C21</f>
        <v/>
      </c>
      <c r="F21" s="17">
        <f>E21/B8</f>
        <v/>
      </c>
    </row>
    <row r="22">
      <c r="A22" s="7" t="inlineStr">
        <is>
          <t>泸州老窖</t>
        </is>
      </c>
      <c r="B22" s="14" t="n">
        <v>1481</v>
      </c>
      <c r="C22" s="15" t="n">
        <v>6.7</v>
      </c>
      <c r="D22" s="15" t="n">
        <v>11.7</v>
      </c>
      <c r="E22" s="16">
        <f>F9*C22</f>
        <v/>
      </c>
      <c r="F22" s="17">
        <f>E22/B9</f>
        <v/>
      </c>
    </row>
    <row r="23">
      <c r="A23" s="7" t="inlineStr">
        <is>
          <t>山西汾酒</t>
        </is>
      </c>
      <c r="B23" s="14" t="n">
        <v>1670</v>
      </c>
      <c r="C23" s="15" t="n">
        <v>9.1</v>
      </c>
      <c r="D23" s="15" t="n">
        <v>13.6</v>
      </c>
      <c r="E23" s="16">
        <f>F10*C23</f>
        <v/>
      </c>
      <c r="F23" s="17">
        <f>E23/B10</f>
        <v/>
      </c>
    </row>
    <row r="24">
      <c r="A24" s="7" t="inlineStr">
        <is>
          <t>洋河股份</t>
        </is>
      </c>
      <c r="B24" s="14" t="n">
        <v>749</v>
      </c>
      <c r="C24" s="15" t="n">
        <v>6.5</v>
      </c>
      <c r="D24" s="15" t="n">
        <v>36.2</v>
      </c>
      <c r="E24" s="16">
        <f>F11*C24</f>
        <v/>
      </c>
      <c r="F24" s="17">
        <f>E24/B11</f>
        <v/>
      </c>
    </row>
    <row r="25">
      <c r="A25" s="11" t="inlineStr">
        <is>
          <t>Maximum</t>
        </is>
      </c>
      <c r="B25" s="18">
        <f>MAX(B20:B24)</f>
        <v/>
      </c>
      <c r="C25" s="19">
        <f>MAX(C20:C24)</f>
        <v/>
      </c>
      <c r="D25" s="19">
        <f>MAX(D20:D24)</f>
        <v/>
      </c>
      <c r="E25" s="18">
        <f>MAX(E20:E24)</f>
        <v/>
      </c>
      <c r="F25" s="19">
        <f>MAX(F20:F24)</f>
        <v/>
      </c>
    </row>
    <row r="26">
      <c r="A26" s="11" t="inlineStr">
        <is>
          <t>75th Percentile</t>
        </is>
      </c>
      <c r="B26" s="18">
        <f>QUARTILE(B20:B24,3)</f>
        <v/>
      </c>
      <c r="C26" s="19">
        <f>QUARTILE(C20:C24,3)</f>
        <v/>
      </c>
      <c r="D26" s="19">
        <f>QUARTILE(D20:D24,3)</f>
        <v/>
      </c>
      <c r="E26" s="18">
        <f>QUARTILE(E20:E24,3)</f>
        <v/>
      </c>
      <c r="F26" s="19">
        <f>QUARTILE(F20:F24,3)</f>
        <v/>
      </c>
    </row>
    <row r="27">
      <c r="A27" s="11" t="inlineStr">
        <is>
          <t>Median</t>
        </is>
      </c>
      <c r="B27" s="18">
        <f>MEDIAN(B20:B24)</f>
        <v/>
      </c>
      <c r="C27" s="19">
        <f>MEDIAN(C20:C24)</f>
        <v/>
      </c>
      <c r="D27" s="19">
        <f>MEDIAN(D20:D24)</f>
        <v/>
      </c>
      <c r="E27" s="18">
        <f>MEDIAN(E20:E24)</f>
        <v/>
      </c>
      <c r="F27" s="19">
        <f>MEDIAN(F20:F24)</f>
        <v/>
      </c>
    </row>
    <row r="28">
      <c r="A28" s="11" t="inlineStr">
        <is>
          <t>25th Percentile</t>
        </is>
      </c>
      <c r="B28" s="18">
        <f>QUARTILE(B20:B24,1)</f>
        <v/>
      </c>
      <c r="C28" s="19">
        <f>QUARTILE(C20:C24,1)</f>
        <v/>
      </c>
      <c r="D28" s="19">
        <f>QUARTILE(D20:D24,1)</f>
        <v/>
      </c>
      <c r="E28" s="18">
        <f>QUARTILE(E20:E24,1)</f>
        <v/>
      </c>
      <c r="F28" s="19">
        <f>QUARTILE(F20:F24,1)</f>
        <v/>
      </c>
    </row>
    <row r="29">
      <c r="A29" s="11" t="inlineStr">
        <is>
          <t>Minimum</t>
        </is>
      </c>
      <c r="B29" s="18">
        <f>MIN(B20:B24)</f>
        <v/>
      </c>
      <c r="C29" s="19">
        <f>MIN(C20:C24)</f>
        <v/>
      </c>
      <c r="D29" s="19">
        <f>MIN(D20:D24)</f>
        <v/>
      </c>
      <c r="E29" s="18">
        <f>MIN(E20:E24)</f>
        <v/>
      </c>
      <c r="F29" s="19">
        <f>MIN(F20:F24)</f>
        <v/>
      </c>
    </row>
    <row r="31">
      <c r="A31" s="5" t="inlineStr">
        <is>
          <t>NOTES &amp; METHODOLOGY</t>
        </is>
      </c>
      <c r="B31" s="2" t="n"/>
      <c r="C31" s="2" t="n"/>
      <c r="D31" s="2" t="n"/>
      <c r="E31" s="2" t="n"/>
      <c r="F31" s="2" t="n"/>
      <c r="G31" s="2" t="n"/>
      <c r="H31" s="2" t="n"/>
      <c r="I31" s="2" t="n"/>
    </row>
    <row r="32">
      <c r="A32" s="20" t="inlineStr">
        <is>
          <t>Data sources: 同花顺iFinD MCP接口，交易日 2026-04-22</t>
        </is>
      </c>
    </row>
    <row r="33">
      <c r="A33" s="20" t="inlineStr">
        <is>
          <t>Operating Metrics: TTM口径（滚动12个月）</t>
        </is>
      </c>
    </row>
    <row r="34">
      <c r="A34" s="20" t="inlineStr">
        <is>
          <t>Peer EBITDA(TTM): 五粮液/泸州老窖/山西汾酒/洋河股份取自2025-09-30（iFinD最新可用TTM）</t>
        </is>
      </c>
    </row>
    <row r="35">
      <c r="A35" s="20" t="inlineStr">
        <is>
          <t>Valuation Multiples: EV/EBITDA 及 P/E 均为 2026-04-22 TTM倍数</t>
        </is>
      </c>
    </row>
    <row r="36">
      <c r="A36" s="20" t="inlineStr">
        <is>
          <t>EV (implied) = EBITDA(LTM) × EV/EBITDA，未精确调整净债务</t>
        </is>
      </c>
    </row>
    <row r="37">
      <c r="A37" s="20" t="inlineStr">
        <is>
          <t>洋河股份PE(36.2x)受 earnings collapse 影响失真，估值统计中作为异常值列示</t>
        </is>
      </c>
    </row>
    <row r="38">
      <c r="A38" s="20" t="inlineStr">
        <is>
          <t>贵州茅台2025年报已发布，其余peer 2025年报尚未完全录入iFinD</t>
        </is>
      </c>
    </row>
  </sheetData>
  <mergeCells count="13">
    <mergeCell ref="A2:I2"/>
    <mergeCell ref="A33:I33"/>
    <mergeCell ref="A5:I5"/>
    <mergeCell ref="A37:I37"/>
    <mergeCell ref="A32:I32"/>
    <mergeCell ref="A36:I36"/>
    <mergeCell ref="A1:I1"/>
    <mergeCell ref="A18:I18"/>
    <mergeCell ref="A31:I31"/>
    <mergeCell ref="A3:I3"/>
    <mergeCell ref="A34:I34"/>
    <mergeCell ref="A35:I35"/>
    <mergeCell ref="A38:I38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2026-04-22T04:02:50Z</dcterms:created>
  <dcterms:modified xsi:type="dcterms:W3CDTF">2026-04-22T04:02:50Z</dcterms:modified>
</cp:coreProperties>
</file>