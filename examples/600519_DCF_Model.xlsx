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模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x"/>
    <numFmt numFmtId="166" formatCode="#,##0.0"/>
    <numFmt numFmtId="167" formatCode="0.0"/>
    <numFmt numFmtId="168" formatCode="0.0000"/>
  </numFmts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color rgb="00000000"/>
      <sz val="10"/>
    </font>
    <font>
      <name val="Times New Roman"/>
      <b val="1"/>
      <color rgb="00FFFFFF"/>
      <sz val="11"/>
    </font>
    <font>
      <name val="Times New Roman"/>
      <sz val="11"/>
    </font>
    <font>
      <name val="Times New Roman"/>
      <color rgb="000000FF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b val="1"/>
      <color rgb="00000000"/>
      <sz val="11"/>
    </font>
    <font>
      <name val="Times New Roman"/>
      <i val="1"/>
      <color rgb="00808080"/>
      <sz val="9"/>
    </font>
    <font>
      <name val="Times New Roman"/>
      <b val="1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166" fontId="8" fillId="4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6" fontId="6" fillId="5" borderId="0" applyAlignment="1" pivotButton="0" quotePrefix="0" xfId="0">
      <alignment horizontal="center" vertical="center"/>
    </xf>
    <xf numFmtId="0" fontId="9" fillId="0" borderId="0" pivotButton="0" quotePrefix="0" xfId="0"/>
    <xf numFmtId="165" fontId="7" fillId="3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Analyst</author>
  </authors>
  <commentList>
    <comment ref="B56" authorId="0" shapeId="0">
      <text>
        <t>Current price = Market Cap / Shares = 17,682亿 / 12.56亿股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贵州茅台 (600519.SH) — DCF估值模型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数据截至 2026-04-22 | 预测期：2026E-2035E | 基准货币：亿元人民币</t>
        </is>
      </c>
    </row>
    <row r="4">
      <c r="A4" s="4" t="inlineStr">
        <is>
          <t>WACC 假设</t>
        </is>
      </c>
      <c r="B4" s="2" t="n"/>
      <c r="C4" s="2" t="n"/>
      <c r="D4" s="2" t="n"/>
    </row>
    <row r="5">
      <c r="A5" s="5" t="inlineStr">
        <is>
          <t>无风险利率 (Rf)</t>
        </is>
      </c>
      <c r="B5" s="6" t="n">
        <v>0.025</v>
      </c>
    </row>
    <row r="6">
      <c r="A6" s="5" t="inlineStr">
        <is>
          <t>Beta</t>
        </is>
      </c>
      <c r="B6" s="7" t="n">
        <v>1</v>
      </c>
    </row>
    <row r="7">
      <c r="A7" s="5" t="inlineStr">
        <is>
          <t>市场风险溢价 (MRP)</t>
        </is>
      </c>
      <c r="B7" s="6" t="n">
        <v>0.06</v>
      </c>
    </row>
    <row r="8">
      <c r="A8" s="5" t="inlineStr">
        <is>
          <t>股权成本 (Ke = Rf + Beta × MRP)</t>
        </is>
      </c>
      <c r="B8" s="8">
        <f>B5+B6*B7</f>
        <v/>
      </c>
    </row>
    <row r="9">
      <c r="A9" s="5" t="inlineStr">
        <is>
          <t>债务成本 (Kd)</t>
        </is>
      </c>
      <c r="B9" s="6" t="n">
        <v>0.035</v>
      </c>
    </row>
    <row r="10">
      <c r="A10" s="5" t="inlineStr">
        <is>
          <t>有效税率 (t)</t>
        </is>
      </c>
      <c r="B10" s="9" t="n">
        <v>0.25</v>
      </c>
    </row>
    <row r="11">
      <c r="A11" s="5" t="inlineStr">
        <is>
          <t>资产负债率 (D/V)</t>
        </is>
      </c>
      <c r="B11" s="9" t="n">
        <v>0</v>
      </c>
    </row>
    <row r="12">
      <c r="A12" s="5" t="inlineStr">
        <is>
          <t>WACC = Ke×(1-D/V) + Kd×(1-t)×D/V</t>
        </is>
      </c>
      <c r="B12" s="8">
        <f>B8</f>
        <v/>
      </c>
    </row>
    <row r="14">
      <c r="A14" s="4" t="inlineStr">
        <is>
          <t>核心假设</t>
        </is>
      </c>
      <c r="B14" s="2" t="n"/>
      <c r="C14" s="2" t="n"/>
      <c r="D14" s="2" t="n"/>
    </row>
    <row r="15">
      <c r="A15" s="5" t="inlineStr">
        <is>
          <t>预测期</t>
        </is>
      </c>
      <c r="B15" s="10" t="inlineStr">
        <is>
          <t>2026E-2035E</t>
        </is>
      </c>
    </row>
    <row r="16">
      <c r="A16" s="5" t="inlineStr">
        <is>
          <t>永续增长率 (g)</t>
        </is>
      </c>
      <c r="B16" s="9" t="n">
        <v>0.025</v>
      </c>
    </row>
    <row r="17">
      <c r="A17" s="5" t="inlineStr">
        <is>
          <t>终值退出倍数 (EV/EBITDA)</t>
        </is>
      </c>
      <c r="B17" s="11" t="n">
        <v>12</v>
      </c>
    </row>
    <row r="18">
      <c r="A18" s="5" t="inlineStr">
        <is>
          <t>EBITDA利润率 (稳定期)</t>
        </is>
      </c>
      <c r="B18" s="9" t="n">
        <v>0.68</v>
      </c>
    </row>
    <row r="19">
      <c r="A19" s="5" t="inlineStr">
        <is>
          <t>折旧摊销 / 收入</t>
        </is>
      </c>
      <c r="B19" s="9" t="n">
        <v>0.02</v>
      </c>
    </row>
    <row r="20">
      <c r="A20" s="5" t="inlineStr">
        <is>
          <t>资本开支 / 收入</t>
        </is>
      </c>
      <c r="B20" s="9" t="n">
        <v>0.03</v>
      </c>
    </row>
    <row r="21">
      <c r="A21" s="5" t="inlineStr">
        <is>
          <t>营运资本变动 / 收入变动</t>
        </is>
      </c>
      <c r="B21" s="9" t="n">
        <v>0.01</v>
      </c>
    </row>
    <row r="22">
      <c r="A22" s="5" t="inlineStr">
        <is>
          <t>总股本 (亿股)</t>
        </is>
      </c>
      <c r="B22" s="12" t="n">
        <v>12.56</v>
      </c>
    </row>
    <row r="23">
      <c r="A23" s="5" t="inlineStr">
        <is>
          <t>净现金 (估算, 亿元)</t>
        </is>
      </c>
      <c r="B23" s="13" t="n">
        <v>1500</v>
      </c>
    </row>
    <row r="25">
      <c r="A25" s="4" t="inlineStr">
        <is>
          <t>HISTORICAL &amp; PROJECTED FINANCIALS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14" t="inlineStr">
        <is>
          <t>Year</t>
        </is>
      </c>
      <c r="B26" s="15" t="n">
        <v>2020</v>
      </c>
      <c r="C26" s="15" t="n">
        <v>2021</v>
      </c>
      <c r="D26" s="15" t="n">
        <v>2022</v>
      </c>
      <c r="E26" s="15" t="n">
        <v>2023</v>
      </c>
      <c r="F26" s="15" t="n">
        <v>2024</v>
      </c>
      <c r="G26" s="15" t="n">
        <v>2025</v>
      </c>
      <c r="H26" s="15" t="n">
        <v>2026</v>
      </c>
      <c r="I26" s="15" t="n">
        <v>2027</v>
      </c>
      <c r="J26" s="15" t="n">
        <v>2028</v>
      </c>
      <c r="K26" s="15" t="n">
        <v>2029</v>
      </c>
      <c r="L26" s="15" t="n">
        <v>2030</v>
      </c>
      <c r="M26" s="15" t="n">
        <v>2031</v>
      </c>
      <c r="N26" s="15" t="n">
        <v>2032</v>
      </c>
      <c r="O26" s="15" t="n">
        <v>2033</v>
      </c>
      <c r="P26" s="15" t="n">
        <v>2034</v>
      </c>
      <c r="Q26" s="15" t="n">
        <v>2035</v>
      </c>
    </row>
    <row r="27">
      <c r="A27" s="5" t="inlineStr">
        <is>
          <t>Revenue Growth</t>
        </is>
      </c>
      <c r="B27" t="inlineStr">
        <is>
          <t>N/A</t>
        </is>
      </c>
      <c r="C27" s="9" t="n">
        <v>0.117</v>
      </c>
      <c r="D27" s="9" t="n">
        <v>0.165</v>
      </c>
      <c r="E27" s="9" t="n">
        <v>0.18</v>
      </c>
      <c r="F27" s="9" t="n">
        <v>0.157</v>
      </c>
      <c r="G27" s="9" t="n">
        <v>-0.012</v>
      </c>
      <c r="H27" s="9" t="n">
        <v>0.02</v>
      </c>
      <c r="I27" s="9" t="n">
        <v>0.04</v>
      </c>
      <c r="J27" s="9" t="n">
        <v>0.05</v>
      </c>
      <c r="K27" s="9" t="n">
        <v>0.05</v>
      </c>
      <c r="L27" s="9" t="n">
        <v>0.045</v>
      </c>
      <c r="M27" s="9" t="n">
        <v>0.04</v>
      </c>
      <c r="N27" s="9" t="n">
        <v>0.035</v>
      </c>
      <c r="O27" s="9" t="n">
        <v>0.03</v>
      </c>
      <c r="P27" s="9" t="n">
        <v>0.03</v>
      </c>
      <c r="Q27" s="9" t="n">
        <v>0.025</v>
      </c>
    </row>
    <row r="28">
      <c r="A28" s="5" t="inlineStr">
        <is>
          <t>Revenue</t>
        </is>
      </c>
      <c r="B28" s="16" t="n">
        <v>979.9299999999999</v>
      </c>
      <c r="C28" s="16" t="n">
        <v>1094.64</v>
      </c>
      <c r="D28" s="16" t="n">
        <v>1275.54</v>
      </c>
      <c r="E28" s="16" t="n">
        <v>1505.6</v>
      </c>
      <c r="F28" s="16" t="n">
        <v>1741.44</v>
      </c>
      <c r="G28" s="16" t="n">
        <v>1720.54</v>
      </c>
      <c r="H28" s="17">
        <f>G28*(1+G27)</f>
        <v/>
      </c>
      <c r="I28" s="17">
        <f>H28*(1+H27)</f>
        <v/>
      </c>
      <c r="J28" s="17">
        <f>I28*(1+I27)</f>
        <v/>
      </c>
      <c r="K28" s="17">
        <f>J28*(1+J27)</f>
        <v/>
      </c>
      <c r="L28" s="17">
        <f>K28*(1+K27)</f>
        <v/>
      </c>
      <c r="M28" s="17">
        <f>L28*(1+L27)</f>
        <v/>
      </c>
      <c r="N28" s="17">
        <f>M28*(1+M27)</f>
        <v/>
      </c>
      <c r="O28" s="17">
        <f>N28*(1+N27)</f>
        <v/>
      </c>
      <c r="P28" s="17">
        <f>O28*(1+O27)</f>
        <v/>
      </c>
      <c r="Q28" s="17">
        <f>P28*(1+P27)</f>
        <v/>
      </c>
    </row>
    <row r="29">
      <c r="A29" s="5" t="inlineStr">
        <is>
          <t>EBITDA Margin</t>
        </is>
      </c>
      <c r="B29" s="9" t="n">
        <v>0.6870000000000001</v>
      </c>
      <c r="C29" s="9" t="n">
        <v>0.6870000000000001</v>
      </c>
      <c r="D29" s="9" t="n">
        <v>0.6889999999999999</v>
      </c>
      <c r="E29" s="9" t="n">
        <v>0.6889999999999999</v>
      </c>
      <c r="F29" s="9" t="n">
        <v>0.6909999999999999</v>
      </c>
      <c r="G29" s="9" t="n">
        <v>0.675</v>
      </c>
      <c r="H29" s="18">
        <f>$B$18</f>
        <v/>
      </c>
      <c r="I29" s="18">
        <f>$B$18</f>
        <v/>
      </c>
      <c r="J29" s="18">
        <f>$B$18</f>
        <v/>
      </c>
      <c r="K29" s="18">
        <f>$B$18</f>
        <v/>
      </c>
      <c r="L29" s="18">
        <f>$B$18</f>
        <v/>
      </c>
      <c r="M29" s="18">
        <f>$B$18</f>
        <v/>
      </c>
      <c r="N29" s="18">
        <f>$B$18</f>
        <v/>
      </c>
      <c r="O29" s="18">
        <f>$B$18</f>
        <v/>
      </c>
      <c r="P29" s="18">
        <f>$B$18</f>
        <v/>
      </c>
      <c r="Q29" s="18">
        <f>$B$18</f>
        <v/>
      </c>
    </row>
    <row r="30">
      <c r="A30" s="5" t="inlineStr">
        <is>
          <t>EBITDA</t>
        </is>
      </c>
      <c r="B30" s="17">
        <f>B28*B29</f>
        <v/>
      </c>
      <c r="C30" s="17">
        <f>C28*C29</f>
        <v/>
      </c>
      <c r="D30" s="17">
        <f>D28*D29</f>
        <v/>
      </c>
      <c r="E30" s="17">
        <f>E28*E29</f>
        <v/>
      </c>
      <c r="F30" s="17">
        <f>F28*F29</f>
        <v/>
      </c>
      <c r="G30" s="17">
        <f>G28*G29</f>
        <v/>
      </c>
      <c r="H30" s="17">
        <f>H28*H29</f>
        <v/>
      </c>
      <c r="I30" s="17">
        <f>I28*I29</f>
        <v/>
      </c>
      <c r="J30" s="17">
        <f>J28*J29</f>
        <v/>
      </c>
      <c r="K30" s="17">
        <f>K28*K29</f>
        <v/>
      </c>
      <c r="L30" s="17">
        <f>L28*L29</f>
        <v/>
      </c>
      <c r="M30" s="17">
        <f>M28*M29</f>
        <v/>
      </c>
      <c r="N30" s="17">
        <f>N28*N29</f>
        <v/>
      </c>
      <c r="O30" s="17">
        <f>O28*O29</f>
        <v/>
      </c>
      <c r="P30" s="17">
        <f>P28*P29</f>
        <v/>
      </c>
      <c r="Q30" s="17">
        <f>Q28*Q29</f>
        <v/>
      </c>
    </row>
    <row r="31">
      <c r="A31" s="5" t="inlineStr">
        <is>
          <t>D&amp;A / Revenue</t>
        </is>
      </c>
      <c r="B31" s="9" t="n">
        <v>0.02</v>
      </c>
      <c r="C31" s="9" t="n">
        <v>0.02</v>
      </c>
      <c r="D31" s="9" t="n">
        <v>0.02</v>
      </c>
      <c r="E31" s="9" t="n">
        <v>0.02</v>
      </c>
      <c r="F31" s="9" t="n">
        <v>0.02</v>
      </c>
      <c r="G31" s="9" t="n">
        <v>0.02</v>
      </c>
      <c r="H31" s="9" t="n">
        <v>0.02</v>
      </c>
      <c r="I31" s="9" t="n">
        <v>0.02</v>
      </c>
      <c r="J31" s="9" t="n">
        <v>0.02</v>
      </c>
      <c r="K31" s="9" t="n">
        <v>0.02</v>
      </c>
      <c r="L31" s="9" t="n">
        <v>0.02</v>
      </c>
      <c r="M31" s="9" t="n">
        <v>0.02</v>
      </c>
      <c r="N31" s="9" t="n">
        <v>0.02</v>
      </c>
      <c r="O31" s="9" t="n">
        <v>0.02</v>
      </c>
      <c r="P31" s="9" t="n">
        <v>0.02</v>
      </c>
      <c r="Q31" s="9" t="n">
        <v>0.02</v>
      </c>
    </row>
    <row r="32">
      <c r="A32" s="5" t="inlineStr">
        <is>
          <t>D&amp;A</t>
        </is>
      </c>
      <c r="B32" s="17">
        <f>B28*B31</f>
        <v/>
      </c>
      <c r="C32" s="17">
        <f>C28*C31</f>
        <v/>
      </c>
      <c r="D32" s="17">
        <f>D28*D31</f>
        <v/>
      </c>
      <c r="E32" s="17">
        <f>E28*E31</f>
        <v/>
      </c>
      <c r="F32" s="17">
        <f>F28*F31</f>
        <v/>
      </c>
      <c r="G32" s="17">
        <f>G28*G31</f>
        <v/>
      </c>
      <c r="H32" s="17">
        <f>H28*H31</f>
        <v/>
      </c>
      <c r="I32" s="17">
        <f>I28*I31</f>
        <v/>
      </c>
      <c r="J32" s="17">
        <f>J28*J31</f>
        <v/>
      </c>
      <c r="K32" s="17">
        <f>K28*K31</f>
        <v/>
      </c>
      <c r="L32" s="17">
        <f>L28*L31</f>
        <v/>
      </c>
      <c r="M32" s="17">
        <f>M28*M31</f>
        <v/>
      </c>
      <c r="N32" s="17">
        <f>N28*N31</f>
        <v/>
      </c>
      <c r="O32" s="17">
        <f>O28*O31</f>
        <v/>
      </c>
      <c r="P32" s="17">
        <f>P28*P31</f>
        <v/>
      </c>
      <c r="Q32" s="17">
        <f>Q28*Q31</f>
        <v/>
      </c>
    </row>
    <row r="33">
      <c r="A33" s="5" t="inlineStr">
        <is>
          <t>EBIT</t>
        </is>
      </c>
      <c r="B33" s="17">
        <f>B30-B32</f>
        <v/>
      </c>
      <c r="C33" s="17">
        <f>C30-C32</f>
        <v/>
      </c>
      <c r="D33" s="17">
        <f>D30-D32</f>
        <v/>
      </c>
      <c r="E33" s="17">
        <f>E30-E32</f>
        <v/>
      </c>
      <c r="F33" s="17">
        <f>F30-F32</f>
        <v/>
      </c>
      <c r="G33" s="17">
        <f>G30-G32</f>
        <v/>
      </c>
      <c r="H33" s="17">
        <f>H30-H32</f>
        <v/>
      </c>
      <c r="I33" s="17">
        <f>I30-I32</f>
        <v/>
      </c>
      <c r="J33" s="17">
        <f>J30-J32</f>
        <v/>
      </c>
      <c r="K33" s="17">
        <f>K30-K32</f>
        <v/>
      </c>
      <c r="L33" s="17">
        <f>L30-L32</f>
        <v/>
      </c>
      <c r="M33" s="17">
        <f>M30-M32</f>
        <v/>
      </c>
      <c r="N33" s="17">
        <f>N30-N32</f>
        <v/>
      </c>
      <c r="O33" s="17">
        <f>O30-O32</f>
        <v/>
      </c>
      <c r="P33" s="17">
        <f>P30-P32</f>
        <v/>
      </c>
      <c r="Q33" s="17">
        <f>Q30-Q32</f>
        <v/>
      </c>
    </row>
    <row r="34">
      <c r="A34" s="5" t="inlineStr">
        <is>
          <t>Tax Rate</t>
        </is>
      </c>
      <c r="B34" s="9" t="n">
        <v>0.25</v>
      </c>
      <c r="C34" s="9" t="n">
        <v>0.25</v>
      </c>
      <c r="D34" s="9" t="n">
        <v>0.25</v>
      </c>
      <c r="E34" s="9" t="n">
        <v>0.25</v>
      </c>
      <c r="F34" s="9" t="n">
        <v>0.25</v>
      </c>
      <c r="G34" s="9" t="n">
        <v>0.25</v>
      </c>
      <c r="H34" s="9" t="n">
        <v>0.25</v>
      </c>
      <c r="I34" s="9" t="n">
        <v>0.25</v>
      </c>
      <c r="J34" s="9" t="n">
        <v>0.25</v>
      </c>
      <c r="K34" s="9" t="n">
        <v>0.25</v>
      </c>
      <c r="L34" s="9" t="n">
        <v>0.25</v>
      </c>
      <c r="M34" s="9" t="n">
        <v>0.25</v>
      </c>
      <c r="N34" s="9" t="n">
        <v>0.25</v>
      </c>
      <c r="O34" s="9" t="n">
        <v>0.25</v>
      </c>
      <c r="P34" s="9" t="n">
        <v>0.25</v>
      </c>
      <c r="Q34" s="9" t="n">
        <v>0.25</v>
      </c>
    </row>
    <row r="35">
      <c r="A35" s="5" t="inlineStr">
        <is>
          <t>NOPAT</t>
        </is>
      </c>
      <c r="B35" s="17">
        <f>B33*(1-B34)</f>
        <v/>
      </c>
      <c r="C35" s="17">
        <f>C33*(1-C34)</f>
        <v/>
      </c>
      <c r="D35" s="17">
        <f>D33*(1-D34)</f>
        <v/>
      </c>
      <c r="E35" s="17">
        <f>E33*(1-E34)</f>
        <v/>
      </c>
      <c r="F35" s="17">
        <f>F33*(1-F34)</f>
        <v/>
      </c>
      <c r="G35" s="17">
        <f>G33*(1-G34)</f>
        <v/>
      </c>
      <c r="H35" s="17">
        <f>H33*(1-H34)</f>
        <v/>
      </c>
      <c r="I35" s="17">
        <f>I33*(1-I34)</f>
        <v/>
      </c>
      <c r="J35" s="17">
        <f>J33*(1-J34)</f>
        <v/>
      </c>
      <c r="K35" s="17">
        <f>K33*(1-K34)</f>
        <v/>
      </c>
      <c r="L35" s="17">
        <f>L33*(1-L34)</f>
        <v/>
      </c>
      <c r="M35" s="17">
        <f>M33*(1-M34)</f>
        <v/>
      </c>
      <c r="N35" s="17">
        <f>N33*(1-N34)</f>
        <v/>
      </c>
      <c r="O35" s="17">
        <f>O33*(1-O34)</f>
        <v/>
      </c>
      <c r="P35" s="17">
        <f>P33*(1-P34)</f>
        <v/>
      </c>
      <c r="Q35" s="17">
        <f>Q33*(1-Q34)</f>
        <v/>
      </c>
    </row>
    <row r="36">
      <c r="A36" s="5" t="inlineStr">
        <is>
          <t>CapEx / Revenue</t>
        </is>
      </c>
      <c r="B36" s="9" t="n">
        <v>0.03</v>
      </c>
      <c r="C36" s="9" t="n">
        <v>0.03</v>
      </c>
      <c r="D36" s="9" t="n">
        <v>0.03</v>
      </c>
      <c r="E36" s="9" t="n">
        <v>0.03</v>
      </c>
      <c r="F36" s="9" t="n">
        <v>0.03</v>
      </c>
      <c r="G36" s="9" t="n">
        <v>0.03</v>
      </c>
      <c r="H36" s="9" t="n">
        <v>0.03</v>
      </c>
      <c r="I36" s="9" t="n">
        <v>0.03</v>
      </c>
      <c r="J36" s="9" t="n">
        <v>0.03</v>
      </c>
      <c r="K36" s="9" t="n">
        <v>0.03</v>
      </c>
      <c r="L36" s="9" t="n">
        <v>0.03</v>
      </c>
      <c r="M36" s="9" t="n">
        <v>0.03</v>
      </c>
      <c r="N36" s="9" t="n">
        <v>0.03</v>
      </c>
      <c r="O36" s="9" t="n">
        <v>0.03</v>
      </c>
      <c r="P36" s="9" t="n">
        <v>0.03</v>
      </c>
      <c r="Q36" s="9" t="n">
        <v>0.03</v>
      </c>
    </row>
    <row r="37">
      <c r="A37" s="5" t="inlineStr">
        <is>
          <t>CapEx</t>
        </is>
      </c>
      <c r="B37" s="17">
        <f>B28*B36</f>
        <v/>
      </c>
      <c r="C37" s="17">
        <f>C28*C36</f>
        <v/>
      </c>
      <c r="D37" s="17">
        <f>D28*D36</f>
        <v/>
      </c>
      <c r="E37" s="17">
        <f>E28*E36</f>
        <v/>
      </c>
      <c r="F37" s="17">
        <f>F28*F36</f>
        <v/>
      </c>
      <c r="G37" s="17">
        <f>G28*G36</f>
        <v/>
      </c>
      <c r="H37" s="17">
        <f>H28*H36</f>
        <v/>
      </c>
      <c r="I37" s="17">
        <f>I28*I36</f>
        <v/>
      </c>
      <c r="J37" s="17">
        <f>J28*J36</f>
        <v/>
      </c>
      <c r="K37" s="17">
        <f>K28*K36</f>
        <v/>
      </c>
      <c r="L37" s="17">
        <f>L28*L36</f>
        <v/>
      </c>
      <c r="M37" s="17">
        <f>M28*M36</f>
        <v/>
      </c>
      <c r="N37" s="17">
        <f>N28*N36</f>
        <v/>
      </c>
      <c r="O37" s="17">
        <f>O28*O36</f>
        <v/>
      </c>
      <c r="P37" s="17">
        <f>P28*P36</f>
        <v/>
      </c>
      <c r="Q37" s="17">
        <f>Q28*Q36</f>
        <v/>
      </c>
    </row>
    <row r="38">
      <c r="A38" s="5" t="inlineStr">
        <is>
          <t>Change in NWC</t>
        </is>
      </c>
      <c r="B38" t="n">
        <v>0</v>
      </c>
      <c r="C38" s="17">
        <f>(C28-B28)*$B$21</f>
        <v/>
      </c>
      <c r="D38" s="17">
        <f>(D28-C28)*$B$21</f>
        <v/>
      </c>
      <c r="E38" s="17">
        <f>(E28-D28)*$B$21</f>
        <v/>
      </c>
      <c r="F38" s="17">
        <f>(F28-E28)*$B$21</f>
        <v/>
      </c>
      <c r="G38" s="17">
        <f>(G28-F28)*$B$21</f>
        <v/>
      </c>
      <c r="H38" s="17">
        <f>(H28-G28)*$B$21</f>
        <v/>
      </c>
      <c r="I38" s="17">
        <f>(I28-H28)*$B$21</f>
        <v/>
      </c>
      <c r="J38" s="17">
        <f>(J28-I28)*$B$21</f>
        <v/>
      </c>
      <c r="K38" s="17">
        <f>(K28-J28)*$B$21</f>
        <v/>
      </c>
      <c r="L38" s="17">
        <f>(L28-K28)*$B$21</f>
        <v/>
      </c>
      <c r="M38" s="17">
        <f>(M28-L28)*$B$21</f>
        <v/>
      </c>
      <c r="N38" s="17">
        <f>(N28-M28)*$B$21</f>
        <v/>
      </c>
      <c r="O38" s="17">
        <f>(O28-N28)*$B$21</f>
        <v/>
      </c>
      <c r="P38" s="17">
        <f>(P28-O28)*$B$21</f>
        <v/>
      </c>
      <c r="Q38" s="17">
        <f>(Q28-P28)*$B$21</f>
        <v/>
      </c>
    </row>
    <row r="39">
      <c r="A39" s="19" t="inlineStr">
        <is>
          <t>Unlevered FCF</t>
        </is>
      </c>
      <c r="B39" s="20">
        <f>B35+B32-B37-B38</f>
        <v/>
      </c>
      <c r="C39" s="20">
        <f>C35+C32-C37-C38</f>
        <v/>
      </c>
      <c r="D39" s="20">
        <f>D35+D32-D37-D38</f>
        <v/>
      </c>
      <c r="E39" s="20">
        <f>E35+E32-E37-E38</f>
        <v/>
      </c>
      <c r="F39" s="20">
        <f>F35+F32-F37-F38</f>
        <v/>
      </c>
      <c r="G39" s="20">
        <f>G35+G32-G37-G38</f>
        <v/>
      </c>
      <c r="H39" s="20">
        <f>H35+H32-H37-H38</f>
        <v/>
      </c>
      <c r="I39" s="20">
        <f>I35+I32-I37-I38</f>
        <v/>
      </c>
      <c r="J39" s="20">
        <f>J35+J32-J37-J38</f>
        <v/>
      </c>
      <c r="K39" s="20">
        <f>K35+K32-K37-K38</f>
        <v/>
      </c>
      <c r="L39" s="20">
        <f>L35+L32-L37-L38</f>
        <v/>
      </c>
      <c r="M39" s="20">
        <f>M35+M32-M37-M38</f>
        <v/>
      </c>
      <c r="N39" s="20">
        <f>N35+N32-N37-N38</f>
        <v/>
      </c>
      <c r="O39" s="20">
        <f>O35+O32-O37-O38</f>
        <v/>
      </c>
      <c r="P39" s="20">
        <f>P35+P32-P37-P38</f>
        <v/>
      </c>
      <c r="Q39" s="20">
        <f>Q35+Q32-Q37-Q38</f>
        <v/>
      </c>
    </row>
    <row r="41">
      <c r="A41" s="4" t="inlineStr">
        <is>
          <t>DCF VALUATION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5" t="inlineStr">
        <is>
          <t>Discount Period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s="21" t="n">
        <v>0.5</v>
      </c>
      <c r="I42" s="21" t="n">
        <v>1.5</v>
      </c>
      <c r="J42" s="21" t="n">
        <v>2.5</v>
      </c>
      <c r="K42" s="21" t="n">
        <v>3.5</v>
      </c>
      <c r="L42" s="21" t="n">
        <v>4.5</v>
      </c>
      <c r="M42" s="21" t="n">
        <v>5.5</v>
      </c>
      <c r="N42" s="21" t="n">
        <v>6.5</v>
      </c>
      <c r="O42" s="21" t="n">
        <v>7.5</v>
      </c>
      <c r="P42" s="21" t="n">
        <v>8.5</v>
      </c>
      <c r="Q42" s="21" t="n">
        <v>9.5</v>
      </c>
    </row>
    <row r="43">
      <c r="A43" s="5" t="inlineStr">
        <is>
          <t>Discount Factor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s="22">
        <f>1/(1+$B$12)^H42</f>
        <v/>
      </c>
      <c r="I43" s="22">
        <f>1/(1+$B$12)^I42</f>
        <v/>
      </c>
      <c r="J43" s="22">
        <f>1/(1+$B$12)^J42</f>
        <v/>
      </c>
      <c r="K43" s="22">
        <f>1/(1+$B$12)^K42</f>
        <v/>
      </c>
      <c r="L43" s="22">
        <f>1/(1+$B$12)^L42</f>
        <v/>
      </c>
      <c r="M43" s="22">
        <f>1/(1+$B$12)^M42</f>
        <v/>
      </c>
      <c r="N43" s="22">
        <f>1/(1+$B$12)^N42</f>
        <v/>
      </c>
      <c r="O43" s="22">
        <f>1/(1+$B$12)^O42</f>
        <v/>
      </c>
      <c r="P43" s="22">
        <f>1/(1+$B$12)^P42</f>
        <v/>
      </c>
      <c r="Q43" s="22">
        <f>1/(1+$B$12)^Q42</f>
        <v/>
      </c>
    </row>
    <row r="44">
      <c r="A44" s="5" t="inlineStr">
        <is>
          <t>PV of FCF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s="17">
        <f>H39*H43</f>
        <v/>
      </c>
      <c r="I44" s="17">
        <f>I39*I43</f>
        <v/>
      </c>
      <c r="J44" s="17">
        <f>J39*J43</f>
        <v/>
      </c>
      <c r="K44" s="17">
        <f>K39*K43</f>
        <v/>
      </c>
      <c r="L44" s="17">
        <f>L39*L43</f>
        <v/>
      </c>
      <c r="M44" s="17">
        <f>M39*M43</f>
        <v/>
      </c>
      <c r="N44" s="17">
        <f>N39*N43</f>
        <v/>
      </c>
      <c r="O44" s="17">
        <f>O39*O43</f>
        <v/>
      </c>
      <c r="P44" s="17">
        <f>P39*P43</f>
        <v/>
      </c>
      <c r="Q44" s="17">
        <f>Q39*Q43</f>
        <v/>
      </c>
    </row>
    <row r="45">
      <c r="A45" s="23" t="inlineStr">
        <is>
          <t>Sum of PV (Forecast Period)</t>
        </is>
      </c>
      <c r="B45" s="24">
        <f>SUM(G44:P44)</f>
        <v/>
      </c>
    </row>
    <row r="47">
      <c r="A47" s="5" t="inlineStr">
        <is>
          <t>Terminal Value (Perpetuity Growth)</t>
        </is>
      </c>
      <c r="B47" s="17">
        <f>P39*(1+$B$16)/($B$12-$B$16)</f>
        <v/>
      </c>
    </row>
    <row r="48">
      <c r="A48" s="5" t="inlineStr">
        <is>
          <t>Terminal Value (Exit Multiple)</t>
        </is>
      </c>
      <c r="B48" s="17">
        <f>P30*$B$17</f>
        <v/>
      </c>
    </row>
    <row r="49">
      <c r="A49" s="23" t="inlineStr">
        <is>
          <t>Terminal Value (Average)</t>
        </is>
      </c>
      <c r="B49" s="24">
        <f>AVERAGE(B47:B48)</f>
        <v/>
      </c>
    </row>
    <row r="50">
      <c r="A50" s="5" t="inlineStr">
        <is>
          <t>PV of Terminal Value</t>
        </is>
      </c>
      <c r="B50" s="17">
        <f>B49*P43</f>
        <v/>
      </c>
    </row>
    <row r="51">
      <c r="A51" s="23" t="inlineStr">
        <is>
          <t>Enterprise Value</t>
        </is>
      </c>
      <c r="B51" s="24">
        <f>B45+B50</f>
        <v/>
      </c>
    </row>
    <row r="52">
      <c r="A52" s="5" t="inlineStr">
        <is>
          <t>Net Cash</t>
        </is>
      </c>
      <c r="B52" s="25">
        <f>$B$23</f>
        <v/>
      </c>
    </row>
    <row r="53">
      <c r="A53" s="23" t="inlineStr">
        <is>
          <t>Equity Value</t>
        </is>
      </c>
      <c r="B53" s="24">
        <f>B51+B52</f>
        <v/>
      </c>
    </row>
    <row r="54">
      <c r="A54" s="5" t="inlineStr">
        <is>
          <t>Shares Outstanding (亿股)</t>
        </is>
      </c>
      <c r="B54" s="26">
        <f>$B$22</f>
        <v/>
      </c>
    </row>
    <row r="55">
      <c r="A55" s="23" t="inlineStr">
        <is>
          <t>Implied Share Price (元)</t>
        </is>
      </c>
      <c r="B55" s="24">
        <f>B53/B54</f>
        <v/>
      </c>
    </row>
    <row r="56">
      <c r="A56" s="5" t="inlineStr">
        <is>
          <t>Current Share Price (元)</t>
        </is>
      </c>
      <c r="B56" s="16" t="n">
        <v>1408</v>
      </c>
    </row>
    <row r="57">
      <c r="A57" s="23" t="inlineStr">
        <is>
          <t>Implied Upside / (Downside)</t>
        </is>
      </c>
      <c r="B57" s="27">
        <f>B55/B56-1</f>
        <v/>
      </c>
    </row>
    <row r="59">
      <c r="A59" s="4" t="inlineStr">
        <is>
          <t>SENSITIVITY: IMPLIED SHARE PRICE (元) — WACC vs Terminal Growth</t>
        </is>
      </c>
      <c r="B59" s="2" t="n"/>
      <c r="C59" s="2" t="n"/>
      <c r="D59" s="2" t="n"/>
      <c r="E59" s="2" t="n"/>
      <c r="F59" s="2" t="n"/>
      <c r="G59" s="2" t="n"/>
    </row>
    <row r="60">
      <c r="A60" s="15" t="inlineStr">
        <is>
          <t>WACC \ g</t>
        </is>
      </c>
      <c r="B60" s="28" t="n">
        <v>0.015</v>
      </c>
      <c r="C60" s="28" t="n">
        <v>0.02</v>
      </c>
      <c r="D60" s="28" t="n">
        <v>0.025</v>
      </c>
      <c r="E60" s="28" t="n">
        <v>0.03</v>
      </c>
      <c r="F60" s="28" t="n">
        <v>0.035</v>
      </c>
    </row>
    <row r="61">
      <c r="A61" s="28" t="n">
        <v>0.075</v>
      </c>
      <c r="B61" s="29" t="n">
        <v>1496.4</v>
      </c>
      <c r="C61" s="29" t="n">
        <v>1535.3</v>
      </c>
      <c r="D61" s="29" t="n">
        <v>1582</v>
      </c>
      <c r="E61" s="29" t="n">
        <v>1639.1</v>
      </c>
      <c r="F61" s="29" t="n">
        <v>1710.4</v>
      </c>
    </row>
    <row r="62">
      <c r="A62" s="28" t="n">
        <v>0.08</v>
      </c>
      <c r="B62" s="29" t="n">
        <v>1419.5</v>
      </c>
      <c r="C62" s="29" t="n">
        <v>1451.2</v>
      </c>
      <c r="D62" s="29" t="n">
        <v>1488.6</v>
      </c>
      <c r="E62" s="29" t="n">
        <v>1533.5</v>
      </c>
      <c r="F62" s="29" t="n">
        <v>1588.4</v>
      </c>
    </row>
    <row r="63">
      <c r="A63" s="28" t="n">
        <v>0.08500000000000001</v>
      </c>
      <c r="B63" s="29" t="n">
        <v>1351.4</v>
      </c>
      <c r="C63" s="29" t="n">
        <v>1377.5</v>
      </c>
      <c r="D63" s="29" t="n">
        <v>1407.9</v>
      </c>
      <c r="E63" s="29" t="n">
        <v>1443.9</v>
      </c>
      <c r="F63" s="29" t="n">
        <v>1487</v>
      </c>
    </row>
    <row r="64">
      <c r="A64" s="28" t="n">
        <v>0.09</v>
      </c>
      <c r="B64" s="29" t="n">
        <v>1290.3</v>
      </c>
      <c r="C64" s="29" t="n">
        <v>1312.1</v>
      </c>
      <c r="D64" s="29" t="n">
        <v>1337.2</v>
      </c>
      <c r="E64" s="29" t="n">
        <v>1366.4</v>
      </c>
      <c r="F64" s="29" t="n">
        <v>1401</v>
      </c>
    </row>
    <row r="65">
      <c r="A65" s="28" t="n">
        <v>0.095</v>
      </c>
      <c r="B65" s="29" t="n">
        <v>1235.2</v>
      </c>
      <c r="C65" s="29" t="n">
        <v>1253.5</v>
      </c>
      <c r="D65" s="29" t="n">
        <v>1274.4</v>
      </c>
      <c r="E65" s="29" t="n">
        <v>1298.5</v>
      </c>
      <c r="F65" s="29" t="n">
        <v>1326.7</v>
      </c>
    </row>
    <row r="66">
      <c r="A66" s="28" t="n">
        <v>0.1</v>
      </c>
      <c r="B66" s="29" t="n">
        <v>1185</v>
      </c>
      <c r="C66" s="29" t="n">
        <v>1200.5</v>
      </c>
      <c r="D66" s="29" t="n">
        <v>1218.1</v>
      </c>
      <c r="E66" s="29" t="n">
        <v>1238.3</v>
      </c>
      <c r="F66" s="29" t="n">
        <v>1261.5</v>
      </c>
    </row>
    <row r="67">
      <c r="A67" s="30" t="inlineStr">
        <is>
          <t>注：敏感性表格为Python预计算值（Excel双向数据表需手动设置What-If Analysis）</t>
        </is>
      </c>
    </row>
    <row r="69">
      <c r="A69" s="4" t="inlineStr">
        <is>
          <t>SENSITIVITY: IMPLIED SHARE PRICE (元) — WACC vs Exit Multiple (g=2.5%)</t>
        </is>
      </c>
      <c r="B69" s="2" t="n"/>
      <c r="C69" s="2" t="n"/>
      <c r="D69" s="2" t="n"/>
      <c r="E69" s="2" t="n"/>
      <c r="F69" s="2" t="n"/>
      <c r="G69" s="2" t="n"/>
    </row>
    <row r="70">
      <c r="A70" s="15" t="inlineStr">
        <is>
          <t>WACC \ Multiple</t>
        </is>
      </c>
      <c r="B70" s="31" t="n">
        <v>10</v>
      </c>
      <c r="C70" s="31" t="n">
        <v>11</v>
      </c>
      <c r="D70" s="31" t="n">
        <v>12</v>
      </c>
      <c r="E70" s="31" t="n">
        <v>13</v>
      </c>
      <c r="F70" s="31" t="n">
        <v>14</v>
      </c>
    </row>
    <row r="71">
      <c r="A71" s="28" t="n">
        <v>0.075</v>
      </c>
      <c r="B71" s="29" t="n">
        <v>1515</v>
      </c>
      <c r="C71" s="29" t="n">
        <v>1548.5</v>
      </c>
      <c r="D71" s="29" t="n">
        <v>1582</v>
      </c>
      <c r="E71" s="29" t="n">
        <v>1615.5</v>
      </c>
      <c r="F71" s="29" t="n">
        <v>1649</v>
      </c>
    </row>
    <row r="72">
      <c r="A72" s="28" t="n">
        <v>0.08</v>
      </c>
      <c r="B72" s="29" t="n">
        <v>1424.5</v>
      </c>
      <c r="C72" s="29" t="n">
        <v>1456.5</v>
      </c>
      <c r="D72" s="29" t="n">
        <v>1488.6</v>
      </c>
      <c r="E72" s="29" t="n">
        <v>1520.7</v>
      </c>
      <c r="F72" s="29" t="n">
        <v>1552.8</v>
      </c>
    </row>
    <row r="73">
      <c r="A73" s="28" t="n">
        <v>0.08500000000000001</v>
      </c>
      <c r="B73" s="29" t="n">
        <v>1346.5</v>
      </c>
      <c r="C73" s="29" t="n">
        <v>1377.2</v>
      </c>
      <c r="D73" s="29" t="n">
        <v>1407.9</v>
      </c>
      <c r="E73" s="29" t="n">
        <v>1438.6</v>
      </c>
      <c r="F73" s="29" t="n">
        <v>1469.3</v>
      </c>
    </row>
    <row r="74">
      <c r="A74" s="28" t="n">
        <v>0.09</v>
      </c>
      <c r="B74" s="29" t="n">
        <v>1278.4</v>
      </c>
      <c r="C74" s="29" t="n">
        <v>1307.8</v>
      </c>
      <c r="D74" s="29" t="n">
        <v>1337.2</v>
      </c>
      <c r="E74" s="29" t="n">
        <v>1366.5</v>
      </c>
      <c r="F74" s="29" t="n">
        <v>1395.9</v>
      </c>
    </row>
    <row r="75">
      <c r="A75" s="28" t="n">
        <v>0.095</v>
      </c>
      <c r="B75" s="29" t="n">
        <v>1218.1</v>
      </c>
      <c r="C75" s="29" t="n">
        <v>1246.3</v>
      </c>
      <c r="D75" s="29" t="n">
        <v>1274.4</v>
      </c>
      <c r="E75" s="29" t="n">
        <v>1302.5</v>
      </c>
      <c r="F75" s="29" t="n">
        <v>1330.7</v>
      </c>
    </row>
    <row r="76">
      <c r="A76" s="28" t="n">
        <v>0.1</v>
      </c>
      <c r="B76" s="29" t="n">
        <v>1164.3</v>
      </c>
      <c r="C76" s="29" t="n">
        <v>1191.2</v>
      </c>
      <c r="D76" s="29" t="n">
        <v>1218.1</v>
      </c>
      <c r="E76" s="29" t="n">
        <v>1245.1</v>
      </c>
      <c r="F76" s="29" t="n">
        <v>1272</v>
      </c>
    </row>
    <row r="78">
      <c r="A78" s="4" t="inlineStr">
        <is>
          <t>VALUATION SUMMARY</t>
        </is>
      </c>
      <c r="B78" s="2" t="n"/>
      <c r="C78" s="2" t="n"/>
      <c r="D78" s="2" t="n"/>
    </row>
    <row r="79">
      <c r="A79" s="23" t="inlineStr">
        <is>
          <t>当前股价 (元)</t>
        </is>
      </c>
      <c r="B79" s="32" t="n">
        <v>1408</v>
      </c>
    </row>
    <row r="80">
      <c r="A80" s="23" t="inlineStr">
        <is>
          <t>DCF隐含股价 (元)</t>
        </is>
      </c>
      <c r="B80" s="24">
        <f>B55</f>
        <v/>
      </c>
    </row>
    <row r="81">
      <c r="A81" s="23" t="inlineStr">
        <is>
          <t>隐含涨跌幅</t>
        </is>
      </c>
      <c r="B81" s="27">
        <f>B57</f>
        <v/>
      </c>
    </row>
    <row r="82">
      <c r="A82" s="5" t="inlineStr"/>
      <c r="B82" s="33" t="inlineStr"/>
    </row>
    <row r="83">
      <c r="A83" s="5" t="inlineStr">
        <is>
          <t>关键假设</t>
        </is>
      </c>
      <c r="B83" s="33" t="inlineStr"/>
    </row>
    <row r="84">
      <c r="A84" s="5" t="inlineStr">
        <is>
          <t xml:space="preserve">  WACC</t>
        </is>
      </c>
      <c r="B84" s="8">
        <f>B12</f>
        <v/>
      </c>
    </row>
    <row r="85">
      <c r="A85" s="5" t="inlineStr">
        <is>
          <t xml:space="preserve">  永续增长率</t>
        </is>
      </c>
      <c r="B85" s="18">
        <f>B16</f>
        <v/>
      </c>
    </row>
    <row r="86">
      <c r="A86" s="5" t="inlineStr">
        <is>
          <t xml:space="preserve">  终值退出倍数</t>
        </is>
      </c>
      <c r="B86" s="34">
        <f>B17</f>
        <v/>
      </c>
    </row>
    <row r="87">
      <c r="A87" s="5" t="inlineStr">
        <is>
          <t xml:space="preserve">  EBITDA利润率</t>
        </is>
      </c>
      <c r="B87" s="18">
        <f>B18</f>
        <v/>
      </c>
    </row>
    <row r="88">
      <c r="A88" s="5" t="inlineStr"/>
      <c r="B88" s="33" t="inlineStr"/>
    </row>
    <row r="89">
      <c r="A89" s="5" t="inlineStr">
        <is>
          <t>估值交叉验证</t>
        </is>
      </c>
      <c r="B89" s="33" t="inlineStr"/>
    </row>
    <row r="90">
      <c r="A90" s="5" t="inlineStr">
        <is>
          <t xml:space="preserve">  DCF隐含EV/EBITDA</t>
        </is>
      </c>
      <c r="B90" s="34">
        <f>B51/P30</f>
        <v/>
      </c>
    </row>
    <row r="91">
      <c r="A91" s="5" t="inlineStr">
        <is>
          <t xml:space="preserve">  Peer Median EV/EBITDA</t>
        </is>
      </c>
      <c r="B91" s="11" t="n">
        <v>6.7</v>
      </c>
    </row>
    <row r="92">
      <c r="A92" s="5" t="inlineStr">
        <is>
          <t xml:space="preserve">  终值占EV比例</t>
        </is>
      </c>
      <c r="B92" s="18">
        <f>B50/B51</f>
        <v/>
      </c>
    </row>
  </sheetData>
  <mergeCells count="10">
    <mergeCell ref="A67:G67"/>
    <mergeCell ref="A4:D4"/>
    <mergeCell ref="A69:G69"/>
    <mergeCell ref="A78:D78"/>
    <mergeCell ref="A2:Q2"/>
    <mergeCell ref="A25:Q25"/>
    <mergeCell ref="A59:G59"/>
    <mergeCell ref="A41:Q41"/>
    <mergeCell ref="A1:Q1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2026-04-22T04:02:50Z</dcterms:created>
  <dcterms:modified xsi:type="dcterms:W3CDTF">2026-04-22T04:02:50Z</dcterms:modified>
</cp:coreProperties>
</file>